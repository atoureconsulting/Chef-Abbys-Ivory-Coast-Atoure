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udget" sheetId="2" state="visible" r:id="rId2"/>
    <sheet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XOF&quot;"/>
    <numFmt numFmtId="165" formatCode="&quot;$&quot;#,##0"/>
  </numFmts>
  <fonts count="6">
    <font>
      <name val="Calibri"/>
      <family val="2"/>
      <color theme="1"/>
      <sz val="11"/>
      <scheme val="minor"/>
    </font>
    <font>
      <name val="Cormorant Garamond"/>
      <b val="1"/>
      <sz val="16"/>
    </font>
    <font>
      <name val="Jost"/>
      <b val="1"/>
      <color rgb="00FAF6EE"/>
    </font>
    <font>
      <b val="1"/>
      <color rgb="001F4FBF"/>
    </font>
    <font>
      <b val="1"/>
      <color rgb="000D0C0A"/>
    </font>
    <font>
      <b val="1"/>
    </font>
  </fonts>
  <fills count="5">
    <fill>
      <patternFill/>
    </fill>
    <fill>
      <patternFill patternType="gray125"/>
    </fill>
    <fill>
      <patternFill patternType="solid">
        <fgColor rgb="000D0C0A"/>
      </patternFill>
    </fill>
    <fill>
      <patternFill patternType="solid">
        <fgColor rgb="00F5EDD6"/>
      </patternFill>
    </fill>
    <fill>
      <patternFill patternType="solid">
        <fgColor rgb="00C8A951"/>
      </patternFill>
    </fill>
  </fills>
  <borders count="2">
    <border>
      <left/>
      <right/>
      <top/>
      <bottom/>
      <diagonal/>
    </border>
    <border>
      <bottom style="thin">
        <color rgb="00E5D9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2" customWidth="1" min="3" max="3"/>
  </cols>
  <sheetData>
    <row r="1">
      <c r="A1" s="1" t="inlineStr">
        <is>
          <t>Chef Abbys × Côte d'Ivoire — budget assumptions (edit blue cells)</t>
        </is>
      </c>
    </row>
    <row r="2">
      <c r="A2" s="2" t="inlineStr">
        <is>
          <t>Assumption</t>
        </is>
      </c>
      <c r="B2" s="2" t="inlineStr">
        <is>
          <t>Value</t>
        </is>
      </c>
      <c r="C2" s="2" t="inlineStr">
        <is>
          <t>Note</t>
        </is>
      </c>
    </row>
    <row r="3">
      <c r="A3" t="inlineStr">
        <is>
          <t>Tour party (people)</t>
        </is>
      </c>
      <c r="B3" s="3" t="n">
        <v>6</v>
      </c>
      <c r="C3" t="inlineStr">
        <is>
          <t>Chef Abbys + manager + 2 camera + photo + assistant — CONFIRM</t>
        </is>
      </c>
    </row>
    <row r="4">
      <c r="A4" t="inlineStr">
        <is>
          <t>Hotel nights</t>
        </is>
      </c>
      <c r="B4" s="3" t="n">
        <v>3</v>
      </c>
      <c r="C4" t="inlineStr">
        <is>
          <t>Nights of 19, 20, 21 Oct; depart 22 Oct to Monrovia</t>
        </is>
      </c>
    </row>
    <row r="5">
      <c r="A5" t="inlineStr">
        <is>
          <t>Programme days</t>
        </is>
      </c>
      <c r="B5" s="3" t="n">
        <v>3</v>
      </c>
      <c r="C5" t="inlineStr">
        <is>
          <t>19–21 Oct</t>
        </is>
      </c>
    </row>
    <row r="6">
      <c r="A6" t="inlineStr">
        <is>
          <t>Vehicle days</t>
        </is>
      </c>
      <c r="B6" s="3" t="n">
        <v>4</v>
      </c>
      <c r="C6" t="inlineStr">
        <is>
          <t>19 Oct airport pick-up through 22 Oct airport drop</t>
        </is>
      </c>
    </row>
    <row r="7">
      <c r="A7" t="inlineStr">
        <is>
          <t>XOF per USD</t>
        </is>
      </c>
      <c r="B7" s="3" t="n">
        <v>565</v>
      </c>
      <c r="C7" t="inlineStr">
        <is>
          <t>Check on the day</t>
        </is>
      </c>
    </row>
    <row r="8">
      <c r="A8" t="inlineStr">
        <is>
          <t>XOF per EUR</t>
        </is>
      </c>
      <c r="B8" s="3" t="n">
        <v>655.957</v>
      </c>
      <c r="C8" t="inlineStr">
        <is>
          <t>Fixed peg</t>
        </is>
      </c>
    </row>
    <row r="9">
      <c r="A9" t="inlineStr">
        <is>
          <t>Contingency</t>
        </is>
      </c>
      <c r="B9" s="4" t="n">
        <v>0.1</v>
      </c>
      <c r="C9" t="inlineStr">
        <is>
          <t>On ground costs</t>
        </is>
      </c>
    </row>
    <row r="10">
      <c r="A10" t="inlineStr">
        <is>
          <t>AToure curation &amp; management fee</t>
        </is>
      </c>
      <c r="B10" s="4" t="n">
        <v>0.15</v>
      </c>
      <c r="C10" t="inlineStr">
        <is>
          <t>PLACEHOLDER — Baba to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8" customWidth="1" min="4" max="4"/>
    <col width="16" customWidth="1" min="5" max="5"/>
    <col width="12" customWidth="1" min="6" max="6"/>
    <col width="10" customWidth="1" min="7" max="7"/>
    <col width="14" customWidth="1" min="8" max="8"/>
    <col width="32" customWidth="1" min="9" max="9"/>
    <col width="44" customWidth="1" min="10" max="10"/>
  </cols>
  <sheetData>
    <row r="1">
      <c r="A1" s="1" t="inlineStr">
        <is>
          <t>Chef Abbys × Côte d'Ivoire · 19–21 Oct 2026 · Ground budget v0.3 (pre-quote estimate)</t>
        </is>
      </c>
    </row>
    <row r="2">
      <c r="A2" s="5" t="inlineStr">
        <is>
          <t>Section</t>
        </is>
      </c>
      <c r="B2" s="5" t="inlineStr">
        <is>
          <t>Line item</t>
        </is>
      </c>
      <c r="C2" s="5" t="inlineStr">
        <is>
          <t>Unit cost (XOF)</t>
        </is>
      </c>
      <c r="D2" s="5" t="inlineStr">
        <is>
          <t>Qty</t>
        </is>
      </c>
      <c r="E2" s="5" t="inlineStr">
        <is>
          <t>Total (XOF)</t>
        </is>
      </c>
      <c r="F2" s="5" t="inlineStr">
        <is>
          <t>Total (USD)</t>
        </is>
      </c>
      <c r="G2" s="5" t="inlineStr">
        <is>
          <t>Tier</t>
        </is>
      </c>
      <c r="H2" s="5" t="inlineStr">
        <is>
          <t>Include? (Y/N)</t>
        </is>
      </c>
      <c r="I2" s="5" t="inlineStr">
        <is>
          <t>Funding route</t>
        </is>
      </c>
      <c r="J2" s="5" t="inlineStr">
        <is>
          <t>Note</t>
        </is>
      </c>
    </row>
    <row r="3">
      <c r="A3" s="6" t="inlineStr">
        <is>
          <t>Arrival &amp; stay</t>
        </is>
      </c>
      <c r="B3" s="6" t="inlineStr">
        <is>
          <t>VIP airport welcome + fast-track (arrival &amp; departure)</t>
        </is>
      </c>
      <c r="C3" s="7" t="n">
        <v>200000</v>
      </c>
      <c r="D3" s="6" t="n">
        <v>2</v>
      </c>
      <c r="E3" s="7">
        <f>IF(H3="Y",C3*D3,0)</f>
        <v/>
      </c>
      <c r="F3" s="8">
        <f>E3/Assumptions!$B$7</f>
        <v/>
      </c>
      <c r="G3" s="6" t="inlineStr">
        <is>
          <t>Core</t>
        </is>
      </c>
      <c r="H3" s="9" t="inlineStr">
        <is>
          <t>Y</t>
        </is>
      </c>
      <c r="I3" s="6" t="inlineStr">
        <is>
          <t>In-kind: Ministry of Tourism protocol</t>
        </is>
      </c>
      <c r="J3" s="6" t="inlineStr"/>
    </row>
    <row r="4">
      <c r="A4" s="6" t="inlineStr">
        <is>
          <t>Arrival &amp; stay</t>
        </is>
      </c>
      <c r="B4" s="6" t="inlineStr">
        <is>
          <t>Hotel 4–5★, single rooms</t>
        </is>
      </c>
      <c r="C4" s="7" t="n">
        <v>150000</v>
      </c>
      <c r="D4" s="6">
        <f>Assumptions!$B$3*Assumptions!$B$4</f>
        <v/>
      </c>
      <c r="E4" s="7">
        <f>IF(H4="Y",C4*D4,0)</f>
        <v/>
      </c>
      <c r="F4" s="8">
        <f>E4/Assumptions!$B$7</f>
        <v/>
      </c>
      <c r="G4" s="6" t="inlineStr">
        <is>
          <t>Core</t>
        </is>
      </c>
      <c r="H4" s="9" t="inlineStr">
        <is>
          <t>Y</t>
        </is>
      </c>
      <c r="I4" s="6" t="inlineStr">
        <is>
          <t>In-kind: hotel partner</t>
        </is>
      </c>
      <c r="J4" s="6" t="inlineStr">
        <is>
          <t>Rate to quote</t>
        </is>
      </c>
    </row>
    <row r="5">
      <c r="A5" s="6" t="inlineStr">
        <is>
          <t>Arrival &amp; stay</t>
        </is>
      </c>
      <c r="B5" s="6" t="inlineStr">
        <is>
          <t>Per diems — meals outside programme</t>
        </is>
      </c>
      <c r="C5" s="7" t="n">
        <v>25000</v>
      </c>
      <c r="D5" s="6">
        <f>Assumptions!$B$3*Assumptions!$B$4</f>
        <v/>
      </c>
      <c r="E5" s="7">
        <f>IF(H5="Y",C5*D5,0)</f>
        <v/>
      </c>
      <c r="F5" s="8">
        <f>E5/Assumptions!$B$7</f>
        <v/>
      </c>
      <c r="G5" s="6" t="inlineStr">
        <is>
          <t>Core</t>
        </is>
      </c>
      <c r="H5" s="9" t="inlineStr">
        <is>
          <t>Y</t>
        </is>
      </c>
      <c r="I5" s="6" t="inlineStr">
        <is>
          <t>Paid</t>
        </is>
      </c>
      <c r="J5" s="6" t="inlineStr"/>
    </row>
    <row r="6">
      <c r="A6" s="6" t="inlineStr">
        <is>
          <t>Arrival &amp; stay</t>
        </is>
      </c>
      <c r="B6" s="6" t="inlineStr">
        <is>
          <t>Local SIM + data</t>
        </is>
      </c>
      <c r="C6" s="7" t="n">
        <v>15000</v>
      </c>
      <c r="D6" s="6">
        <f>Assumptions!$B$3</f>
        <v/>
      </c>
      <c r="E6" s="7">
        <f>IF(H6="Y",C6*D6,0)</f>
        <v/>
      </c>
      <c r="F6" s="8">
        <f>E6/Assumptions!$B$7</f>
        <v/>
      </c>
      <c r="G6" s="6" t="inlineStr">
        <is>
          <t>Core</t>
        </is>
      </c>
      <c r="H6" s="9" t="inlineStr">
        <is>
          <t>Y</t>
        </is>
      </c>
      <c r="I6" s="6" t="inlineStr">
        <is>
          <t>In-kind: telco</t>
        </is>
      </c>
      <c r="J6" s="6" t="inlineStr"/>
    </row>
    <row r="7">
      <c r="A7" s="6" t="inlineStr">
        <is>
          <t>Ground transport</t>
        </is>
      </c>
      <c r="B7" s="6" t="inlineStr">
        <is>
          <t>Talent SUV with driver, fuel incl.</t>
        </is>
      </c>
      <c r="C7" s="7" t="n">
        <v>100000</v>
      </c>
      <c r="D7" s="6">
        <f>Assumptions!$B$6</f>
        <v/>
      </c>
      <c r="E7" s="7">
        <f>IF(H7="Y",C7*D7,0)</f>
        <v/>
      </c>
      <c r="F7" s="8">
        <f>E7/Assumptions!$B$7</f>
        <v/>
      </c>
      <c r="G7" s="6" t="inlineStr">
        <is>
          <t>Core</t>
        </is>
      </c>
      <c r="H7" s="9" t="inlineStr">
        <is>
          <t>Y</t>
        </is>
      </c>
      <c r="I7" s="6" t="inlineStr">
        <is>
          <t>In-kind: mobility partner</t>
        </is>
      </c>
      <c r="J7" s="6" t="inlineStr"/>
    </row>
    <row r="8">
      <c r="A8" s="6" t="inlineStr">
        <is>
          <t>Ground transport</t>
        </is>
      </c>
      <c r="B8" s="6" t="inlineStr">
        <is>
          <t>Crew minibus with driver, fuel incl.</t>
        </is>
      </c>
      <c r="C8" s="7" t="n">
        <v>110000</v>
      </c>
      <c r="D8" s="6">
        <f>Assumptions!$B$6</f>
        <v/>
      </c>
      <c r="E8" s="7">
        <f>IF(H8="Y",C8*D8,0)</f>
        <v/>
      </c>
      <c r="F8" s="8">
        <f>E8/Assumptions!$B$7</f>
        <v/>
      </c>
      <c r="G8" s="6" t="inlineStr">
        <is>
          <t>Core</t>
        </is>
      </c>
      <c r="H8" s="9" t="inlineStr">
        <is>
          <t>Y</t>
        </is>
      </c>
      <c r="I8" s="6" t="inlineStr">
        <is>
          <t>In-kind: mobility partner</t>
        </is>
      </c>
      <c r="J8" s="6" t="inlineStr"/>
    </row>
    <row r="9">
      <c r="A9" s="6" t="inlineStr">
        <is>
          <t>Ground transport</t>
        </is>
      </c>
      <c r="B9" s="6" t="inlineStr">
        <is>
          <t>Fuel &amp; tolls — cocoa village run</t>
        </is>
      </c>
      <c r="C9" s="7" t="n">
        <v>80000</v>
      </c>
      <c r="D9" s="6" t="n">
        <v>1</v>
      </c>
      <c r="E9" s="7">
        <f>IF(H9="Y",C9*D9,0)</f>
        <v/>
      </c>
      <c r="F9" s="8">
        <f>E9/Assumptions!$B$7</f>
        <v/>
      </c>
      <c r="G9" s="6" t="inlineStr">
        <is>
          <t>Core</t>
        </is>
      </c>
      <c r="H9" s="9" t="inlineStr">
        <is>
          <t>Y</t>
        </is>
      </c>
      <c r="I9" s="6" t="inlineStr">
        <is>
          <t>Paid</t>
        </is>
      </c>
      <c r="J9" s="6" t="inlineStr"/>
    </row>
    <row r="10">
      <c r="A10" s="6" t="inlineStr">
        <is>
          <t>Ground team</t>
        </is>
      </c>
      <c r="B10" s="6" t="inlineStr">
        <is>
          <t>Bilingual fixer / on-camera interpreter (FR↔EN)</t>
        </is>
      </c>
      <c r="C10" s="7" t="n">
        <v>80000</v>
      </c>
      <c r="D10" s="6">
        <f>Assumptions!$B$5</f>
        <v/>
      </c>
      <c r="E10" s="7">
        <f>IF(H10="Y",C10*D10,0)</f>
        <v/>
      </c>
      <c r="F10" s="8">
        <f>E10/Assumptions!$B$7</f>
        <v/>
      </c>
      <c r="G10" s="6" t="inlineStr">
        <is>
          <t>Core</t>
        </is>
      </c>
      <c r="H10" s="9" t="inlineStr">
        <is>
          <t>Y</t>
        </is>
      </c>
      <c r="I10" s="6" t="inlineStr">
        <is>
          <t>Paid</t>
        </is>
      </c>
      <c r="J10" s="6" t="inlineStr"/>
    </row>
    <row r="11">
      <c r="A11" s="6" t="inlineStr">
        <is>
          <t>Ground team</t>
        </is>
      </c>
      <c r="B11" s="6" t="inlineStr">
        <is>
          <t>Protocol &amp; security officers (×2)</t>
        </is>
      </c>
      <c r="C11" s="7" t="n">
        <v>50000</v>
      </c>
      <c r="D11" s="6">
        <f>2*Assumptions!$B$5</f>
        <v/>
      </c>
      <c r="E11" s="7">
        <f>IF(H11="Y",C11*D11,0)</f>
        <v/>
      </c>
      <c r="F11" s="8">
        <f>E11/Assumptions!$B$7</f>
        <v/>
      </c>
      <c r="G11" s="6" t="inlineStr">
        <is>
          <t>Core</t>
        </is>
      </c>
      <c r="H11" s="9" t="inlineStr">
        <is>
          <t>Y</t>
        </is>
      </c>
      <c r="I11" s="6" t="inlineStr">
        <is>
          <t>Paid</t>
        </is>
      </c>
      <c r="J11" s="6" t="inlineStr"/>
    </row>
    <row r="12">
      <c r="A12" s="6" t="inlineStr">
        <is>
          <t>Ground team</t>
        </is>
      </c>
      <c r="B12" s="6" t="inlineStr">
        <is>
          <t>Runner / production assistant</t>
        </is>
      </c>
      <c r="C12" s="7" t="n">
        <v>25000</v>
      </c>
      <c r="D12" s="6">
        <f>Assumptions!$B$5</f>
        <v/>
      </c>
      <c r="E12" s="7">
        <f>IF(H12="Y",C12*D12,0)</f>
        <v/>
      </c>
      <c r="F12" s="8">
        <f>E12/Assumptions!$B$7</f>
        <v/>
      </c>
      <c r="G12" s="6" t="inlineStr">
        <is>
          <t>Core</t>
        </is>
      </c>
      <c r="H12" s="9" t="inlineStr">
        <is>
          <t>Y</t>
        </is>
      </c>
      <c r="I12" s="6" t="inlineStr">
        <is>
          <t>Paid</t>
        </is>
      </c>
      <c r="J12" s="6" t="inlineStr"/>
    </row>
    <row r="13">
      <c r="A13" s="6" t="inlineStr">
        <is>
          <t>Day 1 · Snack time</t>
        </is>
      </c>
      <c r="B13" s="6" t="inlineStr">
        <is>
          <t>Goûter ingredients &amp; kit (~40 children)</t>
        </is>
      </c>
      <c r="C13" s="7" t="n">
        <v>250000</v>
      </c>
      <c r="D13" s="6" t="n">
        <v>1</v>
      </c>
      <c r="E13" s="7">
        <f>IF(H13="Y",C13*D13,0)</f>
        <v/>
      </c>
      <c r="F13" s="8">
        <f>E13/Assumptions!$B$7</f>
        <v/>
      </c>
      <c r="G13" s="6" t="inlineStr">
        <is>
          <t>Core</t>
        </is>
      </c>
      <c r="H13" s="9" t="inlineStr">
        <is>
          <t>Y</t>
        </is>
      </c>
      <c r="I13" s="6" t="inlineStr">
        <is>
          <t>Sponsor</t>
        </is>
      </c>
      <c r="J13" s="6" t="inlineStr">
        <is>
          <t>With Fondation Olivia Yacé</t>
        </is>
      </c>
    </row>
    <row r="14">
      <c r="A14" s="6" t="inlineStr">
        <is>
          <t>Day 1 · Snack time</t>
        </is>
      </c>
      <c r="B14" s="6" t="inlineStr">
        <is>
          <t>Burners, gas, aprons, hygiene</t>
        </is>
      </c>
      <c r="C14" s="7" t="n">
        <v>150000</v>
      </c>
      <c r="D14" s="6" t="n">
        <v>1</v>
      </c>
      <c r="E14" s="7">
        <f>IF(H14="Y",C14*D14,0)</f>
        <v/>
      </c>
      <c r="F14" s="8">
        <f>E14/Assumptions!$B$7</f>
        <v/>
      </c>
      <c r="G14" s="6" t="inlineStr">
        <is>
          <t>Core</t>
        </is>
      </c>
      <c r="H14" s="9" t="inlineStr">
        <is>
          <t>Y</t>
        </is>
      </c>
      <c r="I14" s="6" t="inlineStr">
        <is>
          <t>Paid</t>
        </is>
      </c>
      <c r="J14" s="6" t="inlineStr"/>
    </row>
    <row r="15">
      <c r="A15" s="6" t="inlineStr">
        <is>
          <t>Day 1 · Snack time</t>
        </is>
      </c>
      <c r="B15" s="6" t="inlineStr">
        <is>
          <t>Child-safeguarding officer + consent forms</t>
        </is>
      </c>
      <c r="C15" s="7" t="n">
        <v>100000</v>
      </c>
      <c r="D15" s="6" t="n">
        <v>1</v>
      </c>
      <c r="E15" s="7">
        <f>IF(H15="Y",C15*D15,0)</f>
        <v/>
      </c>
      <c r="F15" s="8">
        <f>E15/Assumptions!$B$7</f>
        <v/>
      </c>
      <c r="G15" s="6" t="inlineStr">
        <is>
          <t>Core</t>
        </is>
      </c>
      <c r="H15" s="9" t="inlineStr">
        <is>
          <t>Y</t>
        </is>
      </c>
      <c r="I15" s="6" t="inlineStr">
        <is>
          <t>Paid</t>
        </is>
      </c>
      <c r="J15" s="6" t="inlineStr"/>
    </row>
    <row r="16">
      <c r="A16" s="6" t="inlineStr">
        <is>
          <t>Day 1 · Allocodrome</t>
        </is>
      </c>
      <c r="B16" s="6" t="inlineStr">
        <is>
          <t>Tables, food &amp; drinks (party + ~6 guests)</t>
        </is>
      </c>
      <c r="C16" s="7" t="n">
        <v>20000</v>
      </c>
      <c r="D16" s="6">
        <f>Assumptions!$B$3+6</f>
        <v/>
      </c>
      <c r="E16" s="7">
        <f>IF(H16="Y",C16*D16,0)</f>
        <v/>
      </c>
      <c r="F16" s="8">
        <f>E16/Assumptions!$B$7</f>
        <v/>
      </c>
      <c r="G16" s="6" t="inlineStr">
        <is>
          <t>Core</t>
        </is>
      </c>
      <c r="H16" s="9" t="inlineStr">
        <is>
          <t>Y</t>
        </is>
      </c>
      <c r="I16" s="6" t="inlineStr">
        <is>
          <t>Sponsor</t>
        </is>
      </c>
      <c r="J16" s="6" t="inlineStr"/>
    </row>
    <row r="17">
      <c r="A17" s="6" t="inlineStr">
        <is>
          <t>Day 1 · Allocodrome</t>
        </is>
      </c>
      <c r="B17" s="6" t="inlineStr">
        <is>
          <t>Jiaan Wu — co-host fee [TBC]</t>
        </is>
      </c>
      <c r="C17" s="7" t="n">
        <v>300000</v>
      </c>
      <c r="D17" s="6" t="n">
        <v>1</v>
      </c>
      <c r="E17" s="7">
        <f>IF(H17="Y",C17*D17,0)</f>
        <v/>
      </c>
      <c r="F17" s="8">
        <f>E17/Assumptions!$B$7</f>
        <v/>
      </c>
      <c r="G17" s="6" t="inlineStr">
        <is>
          <t>Core</t>
        </is>
      </c>
      <c r="H17" s="9" t="inlineStr">
        <is>
          <t>Y</t>
        </is>
      </c>
      <c r="I17" s="6" t="inlineStr">
        <is>
          <t>Paid / exposure swap</t>
        </is>
      </c>
      <c r="J17" s="6" t="inlineStr"/>
    </row>
    <row r="18">
      <c r="A18" s="6" t="inlineStr">
        <is>
          <t>Day 2 · Record day</t>
        </is>
      </c>
      <c r="B18" s="6" t="inlineStr">
        <is>
          <t>Zeinab Bancé — appearance fee [TBC]</t>
        </is>
      </c>
      <c r="C18" s="7" t="n">
        <v>500000</v>
      </c>
      <c r="D18" s="6" t="n">
        <v>1</v>
      </c>
      <c r="E18" s="7">
        <f>IF(H18="Y",C18*D18,0)</f>
        <v/>
      </c>
      <c r="F18" s="8">
        <f>E18/Assumptions!$B$7</f>
        <v/>
      </c>
      <c r="G18" s="6" t="inlineStr">
        <is>
          <t>Core</t>
        </is>
      </c>
      <c r="H18" s="9" t="inlineStr">
        <is>
          <t>Y</t>
        </is>
      </c>
      <c r="I18" s="6" t="inlineStr">
        <is>
          <t>Paid</t>
        </is>
      </c>
      <c r="J18" s="6" t="inlineStr"/>
    </row>
    <row r="19">
      <c r="A19" s="6" t="inlineStr">
        <is>
          <t>Day 2 · Record day</t>
        </is>
      </c>
      <c r="B19" s="6" t="inlineStr">
        <is>
          <t>Speed duel set: mortars, timer, ingredients</t>
        </is>
      </c>
      <c r="C19" s="7" t="n">
        <v>200000</v>
      </c>
      <c r="D19" s="6" t="n">
        <v>1</v>
      </c>
      <c r="E19" s="7">
        <f>IF(H19="Y",C19*D19,0)</f>
        <v/>
      </c>
      <c r="F19" s="8">
        <f>E19/Assumptions!$B$7</f>
        <v/>
      </c>
      <c r="G19" s="6" t="inlineStr">
        <is>
          <t>Core</t>
        </is>
      </c>
      <c r="H19" s="9" t="inlineStr">
        <is>
          <t>Y</t>
        </is>
      </c>
      <c r="I19" s="6" t="inlineStr">
        <is>
          <t>Paid</t>
        </is>
      </c>
      <c r="J19" s="6" t="inlineStr"/>
    </row>
    <row r="20">
      <c r="A20" s="6" t="inlineStr">
        <is>
          <t>Day 2 · Record day</t>
        </is>
      </c>
      <c r="B20" s="6" t="inlineStr">
        <is>
          <t>Relay kitchen — 1,000 plates</t>
        </is>
      </c>
      <c r="C20" s="7" t="n">
        <v>1500</v>
      </c>
      <c r="D20" s="6" t="n">
        <v>1000</v>
      </c>
      <c r="E20" s="7">
        <f>IF(H20="Y",C20*D20,0)</f>
        <v/>
      </c>
      <c r="F20" s="8">
        <f>E20/Assumptions!$B$7</f>
        <v/>
      </c>
      <c r="G20" s="6" t="inlineStr">
        <is>
          <t>Core</t>
        </is>
      </c>
      <c r="H20" s="9" t="inlineStr">
        <is>
          <t>Y</t>
        </is>
      </c>
      <c r="I20" s="6" t="inlineStr">
        <is>
          <t>Sponsor</t>
        </is>
      </c>
      <c r="J20" s="6" t="inlineStr">
        <is>
          <t>Food brand / FMCG</t>
        </is>
      </c>
    </row>
    <row r="21">
      <c r="A21" s="6" t="inlineStr">
        <is>
          <t>Day 2 · Record day</t>
        </is>
      </c>
      <c r="B21" s="6" t="inlineStr">
        <is>
          <t>Relay kitchen — venue, tent, stoves, Treichville</t>
        </is>
      </c>
      <c r="C21" s="7" t="n">
        <v>600000</v>
      </c>
      <c r="D21" s="6" t="n">
        <v>1</v>
      </c>
      <c r="E21" s="7">
        <f>IF(H21="Y",C21*D21,0)</f>
        <v/>
      </c>
      <c r="F21" s="8">
        <f>E21/Assumptions!$B$7</f>
        <v/>
      </c>
      <c r="G21" s="6" t="inlineStr">
        <is>
          <t>Core</t>
        </is>
      </c>
      <c r="H21" s="9" t="inlineStr">
        <is>
          <t>Y</t>
        </is>
      </c>
      <c r="I21" s="6" t="inlineStr">
        <is>
          <t>In-kind: venue</t>
        </is>
      </c>
      <c r="J21" s="6" t="inlineStr"/>
    </row>
    <row r="22">
      <c r="A22" s="6" t="inlineStr">
        <is>
          <t>Day 2 · Record day</t>
        </is>
      </c>
      <c r="B22" s="6" t="inlineStr">
        <is>
          <t>Servers &amp; volunteers (×10)</t>
        </is>
      </c>
      <c r="C22" s="7" t="n">
        <v>15000</v>
      </c>
      <c r="D22" s="6" t="n">
        <v>10</v>
      </c>
      <c r="E22" s="7">
        <f>IF(H22="Y",C22*D22,0)</f>
        <v/>
      </c>
      <c r="F22" s="8">
        <f>E22/Assumptions!$B$7</f>
        <v/>
      </c>
      <c r="G22" s="6" t="inlineStr">
        <is>
          <t>Core</t>
        </is>
      </c>
      <c r="H22" s="9" t="inlineStr">
        <is>
          <t>Y</t>
        </is>
      </c>
      <c r="I22" s="6" t="inlineStr">
        <is>
          <t>Paid</t>
        </is>
      </c>
      <c r="J22" s="6" t="inlineStr"/>
    </row>
    <row r="23">
      <c r="A23" s="6" t="inlineStr">
        <is>
          <t>Day 3 · Cocoa &amp; queens</t>
        </is>
      </c>
      <c r="B23" s="6" t="inlineStr">
        <is>
          <t>Cocoa village — community contribution &amp; protocol</t>
        </is>
      </c>
      <c r="C23" s="7" t="n">
        <v>300000</v>
      </c>
      <c r="D23" s="6" t="n">
        <v>1</v>
      </c>
      <c r="E23" s="7">
        <f>IF(H23="Y",C23*D23,0)</f>
        <v/>
      </c>
      <c r="F23" s="8">
        <f>E23/Assumptions!$B$7</f>
        <v/>
      </c>
      <c r="G23" s="6" t="inlineStr">
        <is>
          <t>Core</t>
        </is>
      </c>
      <c r="H23" s="9" t="inlineStr">
        <is>
          <t>Y</t>
        </is>
      </c>
      <c r="I23" s="6" t="inlineStr">
        <is>
          <t>Paid</t>
        </is>
      </c>
      <c r="J23" s="6" t="inlineStr"/>
    </row>
    <row r="24">
      <c r="A24" s="6" t="inlineStr">
        <is>
          <t>Day 3 · Cocoa &amp; queens</t>
        </is>
      </c>
      <c r="B24" s="6" t="inlineStr">
        <is>
          <t>Bean-to-bar workshop, Axel’s lab</t>
        </is>
      </c>
      <c r="C24" s="7" t="n">
        <v>500000</v>
      </c>
      <c r="D24" s="6" t="n">
        <v>1</v>
      </c>
      <c r="E24" s="7">
        <f>IF(H24="Y",C24*D24,0)</f>
        <v/>
      </c>
      <c r="F24" s="8">
        <f>E24/Assumptions!$B$7</f>
        <v/>
      </c>
      <c r="G24" s="6" t="inlineStr">
        <is>
          <t>Core</t>
        </is>
      </c>
      <c r="H24" s="9" t="inlineStr">
        <is>
          <t>Y</t>
        </is>
      </c>
      <c r="I24" s="6" t="inlineStr">
        <is>
          <t>In-kind / co-brand</t>
        </is>
      </c>
      <c r="J24" s="6" t="inlineStr"/>
    </row>
    <row r="25">
      <c r="A25" s="6" t="inlineStr">
        <is>
          <t>Day 3 · Cocoa &amp; queens</t>
        </is>
      </c>
      <c r="B25" s="6" t="inlineStr">
        <is>
          <t>Maison Mandjou atelier</t>
        </is>
      </c>
      <c r="C25" s="7" t="n">
        <v>400000</v>
      </c>
      <c r="D25" s="6" t="n">
        <v>1</v>
      </c>
      <c r="E25" s="7">
        <f>IF(H25="Y",C25*D25,0)</f>
        <v/>
      </c>
      <c r="F25" s="8">
        <f>E25/Assumptions!$B$7</f>
        <v/>
      </c>
      <c r="G25" s="6" t="inlineStr">
        <is>
          <t>Core</t>
        </is>
      </c>
      <c r="H25" s="9" t="inlineStr">
        <is>
          <t>Y</t>
        </is>
      </c>
      <c r="I25" s="6" t="inlineStr">
        <is>
          <t>In-kind / co-brand</t>
        </is>
      </c>
      <c r="J25" s="6" t="inlineStr"/>
    </row>
    <row r="26">
      <c r="A26" s="6" t="inlineStr">
        <is>
          <t>Day 3 · Cocoa &amp; queens</t>
        </is>
      </c>
      <c r="B26" s="6" t="inlineStr">
        <is>
          <t>Closing dinner (party + ~10 guests)</t>
        </is>
      </c>
      <c r="C26" s="7" t="n">
        <v>50000</v>
      </c>
      <c r="D26" s="6">
        <f>Assumptions!$B$3+10</f>
        <v/>
      </c>
      <c r="E26" s="7">
        <f>IF(H26="Y",C26*D26,0)</f>
        <v/>
      </c>
      <c r="F26" s="8">
        <f>E26/Assumptions!$B$7</f>
        <v/>
      </c>
      <c r="G26" s="6" t="inlineStr">
        <is>
          <t>Core</t>
        </is>
      </c>
      <c r="H26" s="9" t="inlineStr">
        <is>
          <t>Y</t>
        </is>
      </c>
      <c r="I26" s="6" t="inlineStr">
        <is>
          <t>Sponsor</t>
        </is>
      </c>
      <c r="J26" s="6" t="inlineStr">
        <is>
          <t>Ministries, partners</t>
        </is>
      </c>
    </row>
    <row r="27">
      <c r="A27" s="6" t="inlineStr">
        <is>
          <t>Day 3 · Cocoa &amp; queens</t>
        </is>
      </c>
      <c r="B27" s="6" t="inlineStr">
        <is>
          <t>Courtesy gifts</t>
        </is>
      </c>
      <c r="C27" s="7" t="n">
        <v>100000</v>
      </c>
      <c r="D27" s="6" t="n">
        <v>1</v>
      </c>
      <c r="E27" s="7">
        <f>IF(H27="Y",C27*D27,0)</f>
        <v/>
      </c>
      <c r="F27" s="8">
        <f>E27/Assumptions!$B$7</f>
        <v/>
      </c>
      <c r="G27" s="6" t="inlineStr">
        <is>
          <t>Core</t>
        </is>
      </c>
      <c r="H27" s="9" t="inlineStr">
        <is>
          <t>Y</t>
        </is>
      </c>
      <c r="I27" s="6" t="inlineStr">
        <is>
          <t>Paid</t>
        </is>
      </c>
      <c r="J27" s="6" t="inlineStr"/>
    </row>
    <row r="28">
      <c r="A28" s="6" t="inlineStr">
        <is>
          <t>Production support</t>
        </is>
      </c>
      <c r="B28" s="6" t="inlineStr">
        <is>
          <t>Licensed drone operator + ANAC authorisation</t>
        </is>
      </c>
      <c r="C28" s="7" t="n">
        <v>350000</v>
      </c>
      <c r="D28" s="6" t="n">
        <v>2</v>
      </c>
      <c r="E28" s="7">
        <f>IF(H28="Y",C28*D28,0)</f>
        <v/>
      </c>
      <c r="F28" s="8">
        <f>E28/Assumptions!$B$7</f>
        <v/>
      </c>
      <c r="G28" s="6" t="inlineStr">
        <is>
          <t>Core</t>
        </is>
      </c>
      <c r="H28" s="9" t="inlineStr">
        <is>
          <t>Y</t>
        </is>
      </c>
      <c r="I28" s="6" t="inlineStr">
        <is>
          <t>Paid</t>
        </is>
      </c>
      <c r="J28" s="6" t="inlineStr">
        <is>
          <t>Days 2 &amp; 3</t>
        </is>
      </c>
    </row>
    <row r="29">
      <c r="A29" s="6" t="inlineStr">
        <is>
          <t>Production support</t>
        </is>
      </c>
      <c r="B29" s="6" t="inlineStr">
        <is>
          <t>Welcome kit — pagne, AToure merch</t>
        </is>
      </c>
      <c r="C29" s="7" t="n">
        <v>25000</v>
      </c>
      <c r="D29" s="6">
        <f>Assumptions!$B$3</f>
        <v/>
      </c>
      <c r="E29" s="7">
        <f>IF(H29="Y",C29*D29,0)</f>
        <v/>
      </c>
      <c r="F29" s="8">
        <f>E29/Assumptions!$B$7</f>
        <v/>
      </c>
      <c r="G29" s="6" t="inlineStr">
        <is>
          <t>Core</t>
        </is>
      </c>
      <c r="H29" s="9" t="inlineStr">
        <is>
          <t>Y</t>
        </is>
      </c>
      <c r="I29" s="6" t="inlineStr">
        <is>
          <t>Paid</t>
        </is>
      </c>
      <c r="J29" s="6" t="inlineStr"/>
    </row>
    <row r="30">
      <c r="A30" s="10" t="inlineStr">
        <is>
          <t>Upgrades</t>
        </is>
      </c>
      <c r="B30" s="10" t="inlineStr">
        <is>
          <t>Sponsored term of goûter for the school</t>
        </is>
      </c>
      <c r="C30" s="11" t="n">
        <v>1000000</v>
      </c>
      <c r="D30" s="10" t="n">
        <v>1</v>
      </c>
      <c r="E30" s="11">
        <f>IF(H30="Y",C30*D30,0)</f>
        <v/>
      </c>
      <c r="F30" s="12">
        <f>E30/Assumptions!$B$7</f>
        <v/>
      </c>
      <c r="G30" s="10" t="inlineStr">
        <is>
          <t>Optional</t>
        </is>
      </c>
      <c r="H30" s="13" t="inlineStr">
        <is>
          <t>N</t>
        </is>
      </c>
      <c r="I30" s="10" t="inlineStr">
        <is>
          <t>Sponsor</t>
        </is>
      </c>
      <c r="J30" s="10" t="inlineStr"/>
    </row>
    <row r="31">
      <c r="A31" s="10" t="inlineStr">
        <is>
          <t>Upgrades</t>
        </is>
      </c>
      <c r="B31" s="10" t="inlineStr">
        <is>
          <t>Local BTS photographer / videographer</t>
        </is>
      </c>
      <c r="C31" s="11" t="n">
        <v>200000</v>
      </c>
      <c r="D31" s="10">
        <f>Assumptions!$B$5</f>
        <v/>
      </c>
      <c r="E31" s="11">
        <f>IF(H31="Y",C31*D31,0)</f>
        <v/>
      </c>
      <c r="F31" s="12">
        <f>E31/Assumptions!$B$7</f>
        <v/>
      </c>
      <c r="G31" s="10" t="inlineStr">
        <is>
          <t>Optional</t>
        </is>
      </c>
      <c r="H31" s="13" t="inlineStr">
        <is>
          <t>N</t>
        </is>
      </c>
      <c r="I31" s="10" t="inlineStr">
        <is>
          <t>Paid</t>
        </is>
      </c>
      <c r="J31" s="10" t="inlineStr"/>
    </row>
    <row r="32">
      <c r="A32" s="10" t="inlineStr">
        <is>
          <t>Travel (outside ground)</t>
        </is>
      </c>
      <c r="B32" s="10" t="inlineStr">
        <is>
          <t>Flights Accra → Abidjan</t>
        </is>
      </c>
      <c r="C32" s="11" t="n">
        <v>200000</v>
      </c>
      <c r="D32" s="10">
        <f>Assumptions!$B$3</f>
        <v/>
      </c>
      <c r="E32" s="11">
        <f>IF(H32="Y",C32*D32,0)</f>
        <v/>
      </c>
      <c r="F32" s="12">
        <f>E32/Assumptions!$B$7</f>
        <v/>
      </c>
      <c r="G32" s="10" t="inlineStr">
        <is>
          <t>Travel</t>
        </is>
      </c>
      <c r="H32" s="13" t="inlineStr">
        <is>
          <t>N</t>
        </is>
      </c>
      <c r="I32" s="10" t="inlineStr">
        <is>
          <t>In-kind: airline</t>
        </is>
      </c>
      <c r="J32" s="10" t="inlineStr"/>
    </row>
    <row r="33">
      <c r="A33" s="10" t="inlineStr">
        <is>
          <t>Travel (outside ground)</t>
        </is>
      </c>
      <c r="B33" s="10" t="inlineStr">
        <is>
          <t>Flights Abidjan → Monrovia (Air Côte d'Ivoire)</t>
        </is>
      </c>
      <c r="C33" s="11" t="n">
        <v>280000</v>
      </c>
      <c r="D33" s="10">
        <f>Assumptions!$B$3</f>
        <v/>
      </c>
      <c r="E33" s="11">
        <f>IF(H33="Y",C33*D33,0)</f>
        <v/>
      </c>
      <c r="F33" s="12">
        <f>E33/Assumptions!$B$7</f>
        <v/>
      </c>
      <c r="G33" s="10" t="inlineStr">
        <is>
          <t>Travel</t>
        </is>
      </c>
      <c r="H33" s="13" t="inlineStr">
        <is>
          <t>N</t>
        </is>
      </c>
      <c r="I33" s="10" t="inlineStr">
        <is>
          <t>In-kind: Air Côte d'Ivoire</t>
        </is>
      </c>
      <c r="J33" s="10" t="inlineStr"/>
    </row>
    <row r="34">
      <c r="A34" s="10" t="inlineStr">
        <is>
          <t>Travel (outside ground)</t>
        </is>
      </c>
      <c r="B34" s="10" t="inlineStr">
        <is>
          <t>E-visas for non-ECOWAS crew</t>
        </is>
      </c>
      <c r="C34" s="11" t="n">
        <v>50000</v>
      </c>
      <c r="D34" s="10" t="n">
        <v>2</v>
      </c>
      <c r="E34" s="11">
        <f>IF(H34="Y",C34*D34,0)</f>
        <v/>
      </c>
      <c r="F34" s="12">
        <f>E34/Assumptions!$B$7</f>
        <v/>
      </c>
      <c r="G34" s="10" t="inlineStr">
        <is>
          <t>Travel</t>
        </is>
      </c>
      <c r="H34" s="13" t="inlineStr">
        <is>
          <t>N</t>
        </is>
      </c>
      <c r="I34" s="10" t="inlineStr">
        <is>
          <t>Paid</t>
        </is>
      </c>
      <c r="J34" s="10" t="inlineStr"/>
    </row>
    <row r="36">
      <c r="B36" t="inlineStr">
        <is>
          <t>Ground costs — included lines (excl. travel)</t>
        </is>
      </c>
      <c r="E36" s="14">
        <f>SUMIFS(E3:E34,G3:G34,"&lt;&gt;Travel")</f>
        <v/>
      </c>
      <c r="F36" s="15">
        <f>E36/Assumptions!$B$7</f>
        <v/>
      </c>
    </row>
    <row r="37">
      <c r="B37" t="inlineStr">
        <is>
          <t>Contingency</t>
        </is>
      </c>
      <c r="E37" s="14">
        <f>E36*Assumptions!$B$9</f>
        <v/>
      </c>
      <c r="F37" s="15">
        <f>E37/Assumptions!$B$7</f>
        <v/>
      </c>
    </row>
    <row r="38">
      <c r="B38" t="inlineStr">
        <is>
          <t>AToure curation &amp; management fee</t>
        </is>
      </c>
      <c r="E38" s="14">
        <f>(E36+E37)*Assumptions!$B$10</f>
        <v/>
      </c>
      <c r="F38" s="15">
        <f>E38/Assumptions!$B$7</f>
        <v/>
      </c>
    </row>
    <row r="39">
      <c r="B39" s="16" t="inlineStr">
        <is>
          <t>TOTAL GROUND PROPOSITION</t>
        </is>
      </c>
      <c r="E39" s="17">
        <f>E36+E37+E38</f>
        <v/>
      </c>
      <c r="F39" s="18">
        <f>E39/Assumptions!$B$7</f>
        <v/>
      </c>
    </row>
    <row r="41">
      <c r="B41" t="inlineStr">
        <is>
          <t>Travel lines included (reference, outside ground total)</t>
        </is>
      </c>
      <c r="E41" s="14">
        <f>SUMIFS(E3:E34,G3:G34,"Travel")</f>
        <v/>
      </c>
      <c r="F41" s="15">
        <f>E41/Assumptions!$B$7</f>
        <v/>
      </c>
    </row>
  </sheetData>
  <dataValidations count="1">
    <dataValidation sqref="H3 H4 H5 H6 H7 H8 H9 H10 H11 H12 H13 H14 H15 H16 H17 H18 H19 H20 H21 H22 H23 H24 H25 H26 H27 H28 H29 H30 H31 H32 H33 H3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</cols>
  <sheetData>
    <row r="1">
      <c r="A1" s="19" t="inlineStr">
        <is>
          <t>Quick scenarios (static snapshot at build time — Budget sheet is the live source)</t>
        </is>
      </c>
    </row>
    <row r="2">
      <c r="A2" s="2" t="inlineStr">
        <is>
          <t>Scenario</t>
        </is>
      </c>
      <c r="B2" s="2" t="inlineStr">
        <is>
          <t>XOF</t>
        </is>
      </c>
      <c r="C2" s="2" t="inlineStr">
        <is>
          <t>USD</t>
        </is>
      </c>
    </row>
    <row r="3">
      <c r="A3" t="inlineStr">
        <is>
          <t>Core programme</t>
        </is>
      </c>
      <c r="B3" s="14" t="n">
        <v>15325475</v>
      </c>
      <c r="C3" s="15" t="n">
        <v>27125</v>
      </c>
    </row>
    <row r="4">
      <c r="A4" t="inlineStr">
        <is>
          <t>Core + all upgrades</t>
        </is>
      </c>
      <c r="B4" s="14" t="n">
        <v>17349475</v>
      </c>
      <c r="C4" s="15" t="n">
        <v>30707</v>
      </c>
    </row>
    <row r="5">
      <c r="A5" t="inlineStr">
        <is>
          <t>Travel lines (if we must fund)</t>
        </is>
      </c>
      <c r="B5" s="14" t="n">
        <v>2980000</v>
      </c>
      <c r="C5" s="15" t="n">
        <v>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2026-09-23T21:04:54Z</dcterms:created>
  <dcterms:modified xsi:type="dcterms:W3CDTF">2026-09-23T21:04:54Z</dcterms:modified>
</cp:coreProperties>
</file>